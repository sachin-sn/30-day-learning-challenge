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edictions" sheetId="2" state="visible" r:id="rId4"/>
    <sheet name="Runs" sheetId="3" state="visible" r:id="rId5"/>
    <sheet name="Ope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<sst xmlns="http://schemas.openxmlformats.org/spreadsheetml/2006/main" count="286" uniqueCount="128">
  <si>
    <t xml:space="preserve">Day 16, Part 2: cache at the edge</t>
  </si>
  <si>
    <t xml:space="preserve">Every number below is a formula over the Runs sheet. 30-second time to live, 2-second slow origin, from the Mac (colo MAA).</t>
  </si>
  <si>
    <t xml:space="preserve">Measure</t>
  </si>
  <si>
    <t xml:space="preserve">Value</t>
  </si>
  <si>
    <t xml:space="preserve">Unit / note</t>
  </si>
  <si>
    <t xml:space="preserve">Test A: /slow-cacheapi, 10 calls in a row</t>
  </si>
  <si>
    <t xml:space="preserve">Calls that were a MISS</t>
  </si>
  <si>
    <t xml:space="preserve">calls</t>
  </si>
  <si>
    <t xml:space="preserve">Calls that were a HIT</t>
  </si>
  <si>
    <t xml:space="preserve">MISS: time at the client</t>
  </si>
  <si>
    <t xml:space="preserve">ms (one MISS, so sum = value)</t>
  </si>
  <si>
    <t xml:space="preserve">MISS: time inside the Worker</t>
  </si>
  <si>
    <t xml:space="preserve">ms</t>
  </si>
  <si>
    <t xml:space="preserve">HIT: fastest at the client</t>
  </si>
  <si>
    <t xml:space="preserve">HIT: slowest at the client</t>
  </si>
  <si>
    <t xml:space="preserve">HIT: median at the client</t>
  </si>
  <si>
    <t xml:space="preserve">HIT: average inside the Worker</t>
  </si>
  <si>
    <t xml:space="preserve">Test B: /slow (fetch with cf cache options), 10 calls</t>
  </si>
  <si>
    <t xml:space="preserve">Calls with no cache status (x-cache = none)</t>
  </si>
  <si>
    <t xml:space="preserve">calls out of 10</t>
  </si>
  <si>
    <t xml:space="preserve">Median time at the client</t>
  </si>
  <si>
    <t xml:space="preserve">Fastest at the client</t>
  </si>
  <si>
    <t xml:space="preserve">Slowest at the client</t>
  </si>
  <si>
    <t xml:space="preserve">Test C: time-to-live test, 4 calls 12 s apart</t>
  </si>
  <si>
    <t xml:space="preserve">calls (at age 12 s and 24 s)</t>
  </si>
  <si>
    <t xml:space="preserve">calls (first call, and the call after the 30 s limit)</t>
  </si>
  <si>
    <t xml:space="preserve">MISS after the limit: time at the client</t>
  </si>
  <si>
    <t xml:space="preserve">ms (call 4)</t>
  </si>
  <si>
    <t xml:space="preserve">HIT after a pause: average at the client</t>
  </si>
  <si>
    <t xml:space="preserve">ms (test A hits were about 30 ms)</t>
  </si>
  <si>
    <t xml:space="preserve">HIT after a pause: average outside the Worker</t>
  </si>
  <si>
    <t xml:space="preserve">ms (client - edge)</t>
  </si>
  <si>
    <t xml:space="preserve">HIT in a quick run: average outside the Worker</t>
  </si>
  <si>
    <t xml:space="preserve">Prediction check</t>
  </si>
  <si>
    <t xml:space="preserve">Miss time at the client vs predicted 50 ms</t>
  </si>
  <si>
    <t xml:space="preserve">times the prediction</t>
  </si>
  <si>
    <t xml:space="preserve">Hit median at the client vs predicted 100 ms</t>
  </si>
  <si>
    <t xml:space="preserve">Inputs: predictions written before the run</t>
  </si>
  <si>
    <t xml:space="preserve">Predicted miss time</t>
  </si>
  <si>
    <t xml:space="preserve">ms (your words: about 50 ms)</t>
  </si>
  <si>
    <t xml:space="preserve">Predicted hit time</t>
  </si>
  <si>
    <t xml:space="preserve">ms (your words: about 100 ms)</t>
  </si>
  <si>
    <t xml:space="preserve">Test E: /slow-cacheapi from Google Cloud Shell (colo SIN), 3 curl calls</t>
  </si>
  <si>
    <t xml:space="preserve">HIT: average at the client</t>
  </si>
  <si>
    <t xml:space="preserve">ms (new connection for each curl)</t>
  </si>
  <si>
    <t xml:space="preserve">Test E is not a clean second-location test: the entry made in MAA was about 200 s old, so it had expired (30 s limit) before SIN was called.</t>
  </si>
  <si>
    <t xml:space="preserve">Source: slow-test.ts output and curl, 2026-10-07, run from the Mac and from Cloud Shell. See the Runs sheet.</t>
  </si>
  <si>
    <t xml:space="preserve">Question</t>
  </si>
  <si>
    <t xml:space="preserve">My prediction</t>
  </si>
  <si>
    <t xml:space="preserve">Result</t>
  </si>
  <si>
    <t xml:space="preserve">Held?</t>
  </si>
  <si>
    <t xml:space="preserve">How long does a miss take?</t>
  </si>
  <si>
    <t xml:space="preserve">about 50 ms</t>
  </si>
  <si>
    <t xml:space="preserve">2431.6 ms (first run), 2190.7 ms and 2105.0 ms at the client; 2008 to 2057 ms inside the Worker. The origin waits 2000 ms, so a miss cannot be shorter.</t>
  </si>
  <si>
    <t xml:space="preserve">No</t>
  </si>
  <si>
    <t xml:space="preserve">How long does a hit take?</t>
  </si>
  <si>
    <t xml:space="preserve">about 100 ms</t>
  </si>
  <si>
    <t xml:space="preserve">Median 30.2 ms at the client on a reused connection (27.4 to 154.9 ms); 166.6 and 190.3 ms after a 12 s pause; 4 to 16 ms inside the Worker.</t>
  </si>
  <si>
    <t xml:space="preserve">What happens after the 30-second time to live?</t>
  </si>
  <si>
    <t xml:space="preserve">a timeout occurs</t>
  </si>
  <si>
    <t xml:space="preserve">No error. The next call was a MISS with a new origin answer and took 2105.0 ms. The calls after it were hits again.</t>
  </si>
  <si>
    <t xml:space="preserve">Does a second location see a hit?</t>
  </si>
  <si>
    <t xml:space="preserve">not predicted yet</t>
  </si>
  <si>
    <t xml:space="preserve">Cloud Shell (colo SIN): first call MISS (2140 ms), then 2 HITs (63 and 75 ms). SIN built its own copy. This does not show whether SIN could see a MAA copy, because the MAA copy was about 200 s old and already expired.</t>
  </si>
  <si>
    <t xml:space="preserve">Not tested yet</t>
  </si>
  <si>
    <t xml:space="preserve">Test</t>
  </si>
  <si>
    <t xml:space="preserve">Route</t>
  </si>
  <si>
    <t xml:space="preserve">Call</t>
  </si>
  <si>
    <t xml:space="preserve">Status</t>
  </si>
  <si>
    <t xml:space="preserve">Client ms</t>
  </si>
  <si>
    <t xml:space="preserve">x-cache</t>
  </si>
  <si>
    <t xml:space="preserve">Age (s)</t>
  </si>
  <si>
    <t xml:space="preserve">Edge ms</t>
  </si>
  <si>
    <t xml:space="preserve">Colo</t>
  </si>
  <si>
    <t xml:space="preserve">At (origin answer time)</t>
  </si>
  <si>
    <t xml:space="preserve">Helper: test A hit ms</t>
  </si>
  <si>
    <t xml:space="preserve">Helper: test B ms</t>
  </si>
  <si>
    <t xml:space="preserve">Outside Worker ms (client - edge)</t>
  </si>
  <si>
    <t xml:space="preserve">A</t>
  </si>
  <si>
    <t xml:space="preserve">/slow-cacheapi</t>
  </si>
  <si>
    <t xml:space="preserve">MISS</t>
  </si>
  <si>
    <t xml:space="preserve">MAA</t>
  </si>
  <si>
    <t xml:space="preserve">2026-10-07T16:35:29.967Z</t>
  </si>
  <si>
    <t xml:space="preserve">HIT</t>
  </si>
  <si>
    <t xml:space="preserve">B</t>
  </si>
  <si>
    <t xml:space="preserve">/slow</t>
  </si>
  <si>
    <t xml:space="preserve">none</t>
  </si>
  <si>
    <t xml:space="preserve">2026-10-07T16:37:38.019Z</t>
  </si>
  <si>
    <t xml:space="preserve">2026-10-07T16:37:40.074Z</t>
  </si>
  <si>
    <t xml:space="preserve">2026-10-07T16:37:42.199Z</t>
  </si>
  <si>
    <t xml:space="preserve">2026-10-07T16:37:44.238Z</t>
  </si>
  <si>
    <t xml:space="preserve">2026-10-07T16:37:46.332Z</t>
  </si>
  <si>
    <t xml:space="preserve">2026-10-07T16:37:48.374Z</t>
  </si>
  <si>
    <t xml:space="preserve">2026-10-07T16:37:50.423Z</t>
  </si>
  <si>
    <t xml:space="preserve">2026-10-07T16:37:52.490Z</t>
  </si>
  <si>
    <t xml:space="preserve">2026-10-07T16:37:54.553Z</t>
  </si>
  <si>
    <t xml:space="preserve">2026-10-07T16:37:56.587Z</t>
  </si>
  <si>
    <t xml:space="preserve">C</t>
  </si>
  <si>
    <t xml:space="preserve">2026-10-07T16:38:14.849Z</t>
  </si>
  <si>
    <t xml:space="preserve">2026-10-07T16:38:53.335Z</t>
  </si>
  <si>
    <t xml:space="preserve">D</t>
  </si>
  <si>
    <t xml:space="preserve">not printed</t>
  </si>
  <si>
    <t xml:space="preserve">not printed (curl headers)</t>
  </si>
  <si>
    <t xml:space="preserve">E</t>
  </si>
  <si>
    <t xml:space="preserve">SIN</t>
  </si>
  <si>
    <t xml:space="preserve">not printed (x-cached-at 1791391335304)</t>
  </si>
  <si>
    <t xml:space="preserve">Tests: A = /slow-cacheapi, 10 calls in a row. B = /slow (fetch with cf cache options), 10 calls. C = /slow-cacheapi TTL test, 4 calls 12 s apart. D = three curl calls from the Mac.</t>
  </si>
  <si>
    <t xml:space="preserve">Source: output of slow-test.ts and curl, run from the Mac on 2026-10-07 (blue = typed from that output). Client ms = time seen by the caller; Edge ms = time spent inside the Worker (x-edge-ms header).</t>
  </si>
  <si>
    <t xml:space="preserve">Test D client ms = curl time_total x 1000 (0.112271 s, 0.210165 s, 0.080534 s). Test D = Mac, ages 25-26 s. Test E = three curl calls from Google Cloud Shell, colo SIN, 2.140137 s / 0.062983 s / 0.074860 s. D and E have no edge time and no status printed, so those cells say so or stay empty.</t>
  </si>
  <si>
    <t xml:space="preserve">Age 'none' on test B means the response had no age header and no cf-cache-status. Helper columns K, L, M feed the Summary sheet.</t>
  </si>
  <si>
    <t xml:space="preserve">Item</t>
  </si>
  <si>
    <t xml:space="preserve">What is known</t>
  </si>
  <si>
    <t xml:space="preserve">What is still needed</t>
  </si>
  <si>
    <t xml:space="preserve">Second location</t>
  </si>
  <si>
    <t xml:space="preserve">From Cloud Shell (SIN): MISS, then 2 HITs. The MAA copy was already expired, so this does not show whether SIN could use it.</t>
  </si>
  <si>
    <t xml:space="preserve">Write a prediction first. Then call from the Mac (MAA); within 30 seconds call from Cloud Shell (SIN). A MISS at SIN means the cache is per data center.</t>
  </si>
  <si>
    <t xml:space="preserve">Docs vs result: Cache API on workers.dev</t>
  </si>
  <si>
    <t xml:space="preserve">The Cache API stored and returned a response on the workers.dev URL (9 HITs, same origin answer time). A summary of the docs page said it works on custom domains only.</t>
  </si>
  <si>
    <t xml:space="preserve">Read the Cache API page yourself, copy the exact sentence, link and date. Do not assume either side is right.</t>
  </si>
  <si>
    <t xml:space="preserve">Why /slow did not cache</t>
  </si>
  <si>
    <t xml:space="preserve">All 10 calls reached the origin; no cf-cache-status and no age header. Three untested ideas: the origin is a Worker on workers.dev; the cf options do not apply to a subrequest to a Worker; the global_fetch_strictly_public flag changes the path.</t>
  </si>
  <si>
    <t xml:space="preserve">Read the cf options page and say which idea the docs support, or write that it is unknown.</t>
  </si>
  <si>
    <t xml:space="preserve">Why hits after a pause took 167 and 190 ms</t>
  </si>
  <si>
    <t xml:space="preserve">Only 4 and 7 ms were inside the Worker. In the quick run, hits took about 30 ms.</t>
  </si>
  <si>
    <t xml:space="preserve">Not checked: probably a new connection after the 12 s pause. Test with one connection kept open, or time the connection parts with curl.</t>
  </si>
  <si>
    <t xml:space="preserve">Hit rate: edge cache vs one-server cache</t>
  </si>
  <si>
    <t xml:space="preserve">The Cache API cache is per data center (docs). Not yet seen in a run.</t>
  </si>
  <si>
    <t xml:space="preserve">One paragraph in your own words, after the second-location run.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</si>
</sst>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/>
      <c r="C5" s="5"/>
    </row>
    <row r="6" customFormat="false" ht="15" hidden="false" customHeight="false" outlineLevel="0" collapsed="false">
      <c r="A6" s="6" t="s">
        <v>6</v>
      </c>
      <c r="B6" s="7" t="n">
        <f aca="false">COUNTIFS(Runs!$A$2:$A$31,"A",Runs!$F$2:$F$31,"MISS")</f>
        <v>1</v>
      </c>
      <c r="C6" s="6" t="s">
        <v>7</v>
      </c>
    </row>
    <row r="7" customFormat="false" ht="15" hidden="false" customHeight="false" outlineLevel="0" collapsed="false">
      <c r="A7" s="6" t="s">
        <v>8</v>
      </c>
      <c r="B7" s="7" t="n">
        <f aca="false">COUNTIFS(Runs!$A$2:$A$31,"A",Runs!$F$2:$F$31,"HIT")</f>
        <v>9</v>
      </c>
      <c r="C7" s="6" t="s">
        <v>7</v>
      </c>
    </row>
    <row r="8" customFormat="false" ht="15" hidden="false" customHeight="false" outlineLevel="0" collapsed="false">
      <c r="A8" s="6" t="s">
        <v>9</v>
      </c>
      <c r="B8" s="8" t="n">
        <f aca="false">SUMIFS(Runs!$E$2:$E$31,Runs!$A$2:$A$31,"A",Runs!$F$2:$F$31,"MISS")</f>
        <v>2431.6</v>
      </c>
      <c r="C8" s="6" t="s">
        <v>10</v>
      </c>
    </row>
    <row r="9" customFormat="false" ht="15" hidden="false" customHeight="false" outlineLevel="0" collapsed="false">
      <c r="A9" s="6" t="s">
        <v>11</v>
      </c>
      <c r="B9" s="8" t="n">
        <f aca="false">SUMIFS(Runs!$H$2:$H$31,Runs!$A$2:$A$31,"A",Runs!$F$2:$F$31,"MISS")</f>
        <v>2057</v>
      </c>
      <c r="C9" s="6" t="s">
        <v>12</v>
      </c>
    </row>
    <row r="10" customFormat="false" ht="15" hidden="false" customHeight="false" outlineLevel="0" collapsed="false">
      <c r="A10" s="6" t="s">
        <v>13</v>
      </c>
      <c r="B10" s="8" t="n">
        <f aca="false">_xlfn.MINIFS(Runs!$E$2:$E$31,Runs!$A$2:$A$31,"A",Runs!$F$2:$F$31,"HIT")</f>
        <v>27.4</v>
      </c>
      <c r="C10" s="6" t="s">
        <v>12</v>
      </c>
    </row>
    <row r="11" customFormat="false" ht="15" hidden="false" customHeight="false" outlineLevel="0" collapsed="false">
      <c r="A11" s="6" t="s">
        <v>14</v>
      </c>
      <c r="B11" s="8" t="n">
        <f aca="false">_xlfn.MAXIFS(Runs!$E$2:$E$31,Runs!$A$2:$A$31,"A",Runs!$F$2:$F$31,"HIT")</f>
        <v>154.9</v>
      </c>
      <c r="C11" s="6" t="s">
        <v>12</v>
      </c>
    </row>
    <row r="12" customFormat="false" ht="15" hidden="false" customHeight="false" outlineLevel="0" collapsed="false">
      <c r="A12" s="6" t="s">
        <v>15</v>
      </c>
      <c r="B12" s="8" t="n">
        <f aca="false">MEDIAN(Runs!$K$2:$K$31)</f>
        <v>30.2</v>
      </c>
      <c r="C12" s="6" t="s">
        <v>12</v>
      </c>
    </row>
    <row r="13" customFormat="false" ht="15" hidden="false" customHeight="false" outlineLevel="0" collapsed="false">
      <c r="A13" s="6" t="s">
        <v>16</v>
      </c>
      <c r="B13" s="8" t="n">
        <f aca="false">AVERAGEIFS(Runs!$H$2:$H$31,Runs!$A$2:$A$31,"A",Runs!$F$2:$F$31,"HIT")</f>
        <v>7.11111111111111</v>
      </c>
      <c r="C13" s="6" t="s">
        <v>12</v>
      </c>
    </row>
    <row r="14" customFormat="false" ht="15" hidden="false" customHeight="false" outlineLevel="0" collapsed="false">
      <c r="A14" s="4" t="s">
        <v>17</v>
      </c>
      <c r="B14" s="5"/>
      <c r="C14" s="5"/>
    </row>
    <row r="15" customFormat="false" ht="15" hidden="false" customHeight="false" outlineLevel="0" collapsed="false">
      <c r="A15" s="6" t="s">
        <v>18</v>
      </c>
      <c r="B15" s="7" t="n">
        <f aca="false">COUNTIFS(Runs!$A$2:$A$31,"B",Runs!$F$2:$F$31,"none")</f>
        <v>10</v>
      </c>
      <c r="C15" s="6" t="s">
        <v>19</v>
      </c>
    </row>
    <row r="16" customFormat="false" ht="15" hidden="false" customHeight="false" outlineLevel="0" collapsed="false">
      <c r="A16" s="6" t="s">
        <v>20</v>
      </c>
      <c r="B16" s="8" t="n">
        <f aca="false">MEDIAN(Runs!$L$2:$L$31)</f>
        <v>2060.85</v>
      </c>
      <c r="C16" s="6" t="s">
        <v>12</v>
      </c>
    </row>
    <row r="17" customFormat="false" ht="15" hidden="false" customHeight="false" outlineLevel="0" collapsed="false">
      <c r="A17" s="6" t="s">
        <v>21</v>
      </c>
      <c r="B17" s="8" t="n">
        <f aca="false">_xlfn.MINIFS(Runs!$E$2:$E$31,Runs!$A$2:$A$31,"B")</f>
        <v>2037.7</v>
      </c>
      <c r="C17" s="6" t="s">
        <v>12</v>
      </c>
    </row>
    <row r="18" customFormat="false" ht="15" hidden="false" customHeight="false" outlineLevel="0" collapsed="false">
      <c r="A18" s="6" t="s">
        <v>22</v>
      </c>
      <c r="B18" s="8" t="n">
        <f aca="false">_xlfn.MAXIFS(Runs!$E$2:$E$31,Runs!$A$2:$A$31,"B")</f>
        <v>2247</v>
      </c>
      <c r="C18" s="6" t="s">
        <v>12</v>
      </c>
    </row>
    <row r="19" customFormat="false" ht="15" hidden="false" customHeight="false" outlineLevel="0" collapsed="false">
      <c r="A19" s="4" t="s">
        <v>23</v>
      </c>
      <c r="B19" s="5"/>
      <c r="C19" s="5"/>
    </row>
    <row r="20" customFormat="false" ht="15" hidden="false" customHeight="false" outlineLevel="0" collapsed="false">
      <c r="A20" s="6" t="s">
        <v>8</v>
      </c>
      <c r="B20" s="7" t="n">
        <f aca="false">COUNTIFS(Runs!$A$2:$A$31,"C",Runs!$F$2:$F$31,"HIT")</f>
        <v>2</v>
      </c>
      <c r="C20" s="6" t="s">
        <v>24</v>
      </c>
    </row>
    <row r="21" customFormat="false" ht="15" hidden="false" customHeight="false" outlineLevel="0" collapsed="false">
      <c r="A21" s="6" t="s">
        <v>6</v>
      </c>
      <c r="B21" s="7" t="n">
        <f aca="false">COUNTIFS(Runs!$A$2:$A$31,"C",Runs!$F$2:$F$31,"MISS")</f>
        <v>2</v>
      </c>
      <c r="C21" s="6" t="s">
        <v>25</v>
      </c>
    </row>
    <row r="22" customFormat="false" ht="15" hidden="false" customHeight="false" outlineLevel="0" collapsed="false">
      <c r="A22" s="6" t="s">
        <v>26</v>
      </c>
      <c r="B22" s="8" t="n">
        <f aca="false">INDEX(Runs!$E$2:$E$31,MATCH("C",Runs!$A$2:$A$31,0)+3)</f>
        <v>2105</v>
      </c>
      <c r="C22" s="6" t="s">
        <v>27</v>
      </c>
    </row>
    <row r="23" customFormat="false" ht="15" hidden="false" customHeight="false" outlineLevel="0" collapsed="false">
      <c r="A23" s="6" t="s">
        <v>28</v>
      </c>
      <c r="B23" s="8" t="n">
        <f aca="false">AVERAGEIFS(Runs!$E$2:$E$31,Runs!$A$2:$A$31,"C",Runs!$F$2:$F$31,"HIT")</f>
        <v>178.45</v>
      </c>
      <c r="C23" s="6" t="s">
        <v>29</v>
      </c>
    </row>
    <row r="24" customFormat="false" ht="15" hidden="false" customHeight="false" outlineLevel="0" collapsed="false">
      <c r="A24" s="6" t="s">
        <v>30</v>
      </c>
      <c r="B24" s="8" t="n">
        <f aca="false">AVERAGEIFS(Runs!$M$2:$M$31,Runs!$A$2:$A$31,"C",Runs!$F$2:$F$31,"HIT")</f>
        <v>172.95</v>
      </c>
      <c r="C24" s="6" t="s">
        <v>31</v>
      </c>
    </row>
    <row r="25" customFormat="false" ht="15" hidden="false" customHeight="false" outlineLevel="0" collapsed="false">
      <c r="A25" s="6" t="s">
        <v>32</v>
      </c>
      <c r="B25" s="8" t="n">
        <f aca="false">AVERAGEIFS(Runs!$M$2:$M$31,Runs!$A$2:$A$31,"A",Runs!$F$2:$F$31,"HIT")</f>
        <v>43.7</v>
      </c>
      <c r="C25" s="6" t="s">
        <v>31</v>
      </c>
    </row>
    <row r="26" customFormat="false" ht="15" hidden="false" customHeight="false" outlineLevel="0" collapsed="false">
      <c r="A26" s="4" t="s">
        <v>33</v>
      </c>
      <c r="B26" s="5"/>
      <c r="C26" s="5"/>
    </row>
    <row r="27" customFormat="false" ht="15" hidden="false" customHeight="false" outlineLevel="0" collapsed="false">
      <c r="A27" s="6" t="s">
        <v>34</v>
      </c>
      <c r="B27" s="8" t="n">
        <f aca="false">B8/B31</f>
        <v>48.632</v>
      </c>
      <c r="C27" s="6" t="s">
        <v>35</v>
      </c>
    </row>
    <row r="28" customFormat="false" ht="15" hidden="false" customHeight="false" outlineLevel="0" collapsed="false">
      <c r="A28" s="6" t="s">
        <v>36</v>
      </c>
      <c r="B28" s="8" t="n">
        <f aca="false">B12/B32</f>
        <v>0.302</v>
      </c>
      <c r="C28" s="6" t="s">
        <v>35</v>
      </c>
    </row>
    <row r="30" customFormat="false" ht="15" hidden="false" customHeight="false" outlineLevel="0" collapsed="false">
      <c r="A30" s="4" t="s">
        <v>37</v>
      </c>
      <c r="B30" s="5"/>
      <c r="C30" s="5"/>
    </row>
    <row r="31" customFormat="false" ht="15" hidden="false" customHeight="false" outlineLevel="0" collapsed="false">
      <c r="A31" s="6" t="s">
        <v>38</v>
      </c>
      <c r="B31" s="9" t="n">
        <v>50</v>
      </c>
      <c r="C31" s="6" t="s">
        <v>39</v>
      </c>
    </row>
    <row r="32" customFormat="false" ht="15" hidden="false" customHeight="false" outlineLevel="0" collapsed="false">
      <c r="A32" s="6" t="s">
        <v>40</v>
      </c>
      <c r="B32" s="9" t="n">
        <v>100</v>
      </c>
      <c r="C32" s="6" t="s">
        <v>41</v>
      </c>
    </row>
    <row r="34" customFormat="false" ht="15" hidden="false" customHeight="false" outlineLevel="0" collapsed="false">
      <c r="A34" s="4" t="s">
        <v>42</v>
      </c>
      <c r="B34" s="5"/>
      <c r="C34" s="5"/>
    </row>
    <row r="35" customFormat="false" ht="15" hidden="false" customHeight="false" outlineLevel="0" collapsed="false">
      <c r="A35" s="6" t="s">
        <v>6</v>
      </c>
      <c r="B35" s="7" t="n">
        <f aca="false">COUNTIFS(Runs!$A$2:$A$31,"E",Runs!$F$2:$F$31,"MISS")</f>
        <v>1</v>
      </c>
      <c r="C35" s="6" t="s">
        <v>7</v>
      </c>
    </row>
    <row r="36" customFormat="false" ht="15" hidden="false" customHeight="false" outlineLevel="0" collapsed="false">
      <c r="A36" s="6" t="s">
        <v>8</v>
      </c>
      <c r="B36" s="7" t="n">
        <f aca="false">COUNTIFS(Runs!$A$2:$A$31,"E",Runs!$F$2:$F$31,"HIT")</f>
        <v>2</v>
      </c>
      <c r="C36" s="6" t="s">
        <v>7</v>
      </c>
    </row>
    <row r="37" customFormat="false" ht="15" hidden="false" customHeight="false" outlineLevel="0" collapsed="false">
      <c r="A37" s="6" t="s">
        <v>9</v>
      </c>
      <c r="B37" s="8" t="n">
        <f aca="false">SUMIFS(Runs!$E$2:$E$31,Runs!$A$2:$A$31,"E",Runs!$F$2:$F$31,"MISS")</f>
        <v>2140.137</v>
      </c>
      <c r="C37" s="6" t="s">
        <v>10</v>
      </c>
    </row>
    <row r="38" customFormat="false" ht="15" hidden="false" customHeight="false" outlineLevel="0" collapsed="false">
      <c r="A38" s="6" t="s">
        <v>43</v>
      </c>
      <c r="B38" s="8" t="n">
        <f aca="false">AVERAGEIFS(Runs!$E$2:$E$31,Runs!$A$2:$A$31,"E",Runs!$F$2:$F$31,"HIT")</f>
        <v>68.9215</v>
      </c>
      <c r="C38" s="6" t="s">
        <v>44</v>
      </c>
    </row>
    <row r="40" customFormat="false" ht="15" hidden="false" customHeight="false" outlineLevel="0" collapsed="false">
      <c r="A40" s="2" t="s">
        <v>45</v>
      </c>
    </row>
    <row r="41" customFormat="false" ht="15" hidden="false" customHeight="false" outlineLevel="0" collapsed="false">
      <c r="A41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80"/>
    <col collapsed="false" customWidth="true" hidden="false" outlineLevel="0" max="4" min="4" style="0" width="9"/>
  </cols>
  <sheetData>
    <row r="1" customFormat="false" ht="24" hidden="false" customHeight="true" outlineLevel="0" collapsed="false">
      <c r="A1" s="3" t="s">
        <v>47</v>
      </c>
      <c r="B1" s="3" t="s">
        <v>48</v>
      </c>
      <c r="C1" s="3" t="s">
        <v>49</v>
      </c>
      <c r="D1" s="3" t="s">
        <v>50</v>
      </c>
    </row>
    <row r="2" customFormat="false" ht="61.5" hidden="false" customHeight="true" outlineLevel="0" collapsed="false">
      <c r="A2" s="10" t="s">
        <v>51</v>
      </c>
      <c r="B2" s="10" t="s">
        <v>52</v>
      </c>
      <c r="C2" s="10" t="s">
        <v>53</v>
      </c>
      <c r="D2" s="10" t="s">
        <v>54</v>
      </c>
    </row>
    <row r="3" customFormat="false" ht="61.5" hidden="false" customHeight="true" outlineLevel="0" collapsed="false">
      <c r="A3" s="10" t="s">
        <v>55</v>
      </c>
      <c r="B3" s="10" t="s">
        <v>56</v>
      </c>
      <c r="C3" s="10" t="s">
        <v>57</v>
      </c>
      <c r="D3" s="10" t="s">
        <v>54</v>
      </c>
    </row>
    <row r="4" customFormat="false" ht="61.5" hidden="false" customHeight="true" outlineLevel="0" collapsed="false">
      <c r="A4" s="10" t="s">
        <v>58</v>
      </c>
      <c r="B4" s="10" t="s">
        <v>59</v>
      </c>
      <c r="C4" s="10" t="s">
        <v>60</v>
      </c>
      <c r="D4" s="10" t="s">
        <v>54</v>
      </c>
    </row>
    <row r="5" customFormat="false" ht="61.5" hidden="false" customHeight="true" outlineLevel="0" collapsed="false">
      <c r="A5" s="10" t="s">
        <v>61</v>
      </c>
      <c r="B5" s="10" t="s">
        <v>62</v>
      </c>
      <c r="C5" s="10" t="s">
        <v>63</v>
      </c>
      <c r="D5" s="1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28"/>
    <col collapsed="false" customWidth="true" hidden="false" outlineLevel="0" max="12" min="11" style="0" width="14"/>
    <col collapsed="false" customWidth="true" hidden="false" outlineLevel="0" max="13" min="13" style="0" width="18"/>
  </cols>
  <sheetData>
    <row r="1" customFormat="false" ht="42" hidden="false" customHeight="true" outlineLevel="0" collapsed="false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</row>
    <row r="2" customFormat="false" ht="15" hidden="false" customHeight="false" outlineLevel="0" collapsed="false">
      <c r="A2" s="6" t="s">
        <v>78</v>
      </c>
      <c r="B2" s="6" t="s">
        <v>79</v>
      </c>
      <c r="C2" s="6" t="n">
        <v>1</v>
      </c>
      <c r="D2" s="6" t="n">
        <v>200</v>
      </c>
      <c r="E2" s="11" t="n">
        <v>2431.6</v>
      </c>
      <c r="F2" s="6" t="s">
        <v>80</v>
      </c>
      <c r="G2" s="9" t="n">
        <v>0</v>
      </c>
      <c r="H2" s="9" t="n">
        <v>2057</v>
      </c>
      <c r="I2" s="6" t="s">
        <v>81</v>
      </c>
      <c r="J2" s="6" t="s">
        <v>82</v>
      </c>
      <c r="K2" s="12" t="str">
        <f aca="false">IF(AND($A2="A",$F2="HIT"),$E2,"")</f>
        <v/>
      </c>
      <c r="L2" s="12" t="str">
        <f aca="false">IF($A2="B",$E2,"")</f>
        <v/>
      </c>
      <c r="M2" s="12" t="n">
        <f aca="false">IF($H2="","",$E2-$H2)</f>
        <v>374.6</v>
      </c>
    </row>
    <row r="3" customFormat="false" ht="15" hidden="false" customHeight="false" outlineLevel="0" collapsed="false">
      <c r="A3" s="6" t="s">
        <v>78</v>
      </c>
      <c r="B3" s="6" t="s">
        <v>79</v>
      </c>
      <c r="C3" s="6" t="n">
        <v>2</v>
      </c>
      <c r="D3" s="6" t="n">
        <v>200</v>
      </c>
      <c r="E3" s="11" t="n">
        <v>37</v>
      </c>
      <c r="F3" s="6" t="s">
        <v>83</v>
      </c>
      <c r="G3" s="9" t="n">
        <v>0</v>
      </c>
      <c r="H3" s="9" t="n">
        <v>9</v>
      </c>
      <c r="I3" s="6" t="s">
        <v>81</v>
      </c>
      <c r="J3" s="6" t="s">
        <v>82</v>
      </c>
      <c r="K3" s="12" t="n">
        <f aca="false">IF(AND($A3="A",$F3="HIT"),$E3,"")</f>
        <v>37</v>
      </c>
      <c r="L3" s="12" t="str">
        <f aca="false">IF($A3="B",$E3,"")</f>
        <v/>
      </c>
      <c r="M3" s="12" t="n">
        <f aca="false">IF($H3="","",$E3-$H3)</f>
        <v>28</v>
      </c>
    </row>
    <row r="4" customFormat="false" ht="15" hidden="false" customHeight="false" outlineLevel="0" collapsed="false">
      <c r="A4" s="6" t="s">
        <v>78</v>
      </c>
      <c r="B4" s="6" t="s">
        <v>79</v>
      </c>
      <c r="C4" s="6" t="n">
        <v>3</v>
      </c>
      <c r="D4" s="6" t="n">
        <v>200</v>
      </c>
      <c r="E4" s="11" t="n">
        <v>30</v>
      </c>
      <c r="F4" s="6" t="s">
        <v>83</v>
      </c>
      <c r="G4" s="9" t="n">
        <v>0</v>
      </c>
      <c r="H4" s="9" t="n">
        <v>6</v>
      </c>
      <c r="I4" s="6" t="s">
        <v>81</v>
      </c>
      <c r="J4" s="6" t="s">
        <v>82</v>
      </c>
      <c r="K4" s="12" t="n">
        <f aca="false">IF(AND($A4="A",$F4="HIT"),$E4,"")</f>
        <v>30</v>
      </c>
      <c r="L4" s="12" t="str">
        <f aca="false">IF($A4="B",$E4,"")</f>
        <v/>
      </c>
      <c r="M4" s="12" t="n">
        <f aca="false">IF($H4="","",$E4-$H4)</f>
        <v>24</v>
      </c>
    </row>
    <row r="5" customFormat="false" ht="15" hidden="false" customHeight="false" outlineLevel="0" collapsed="false">
      <c r="A5" s="6" t="s">
        <v>78</v>
      </c>
      <c r="B5" s="6" t="s">
        <v>79</v>
      </c>
      <c r="C5" s="6" t="n">
        <v>4</v>
      </c>
      <c r="D5" s="6" t="n">
        <v>200</v>
      </c>
      <c r="E5" s="11" t="n">
        <v>30.2</v>
      </c>
      <c r="F5" s="6" t="s">
        <v>83</v>
      </c>
      <c r="G5" s="9" t="n">
        <v>0</v>
      </c>
      <c r="H5" s="9" t="n">
        <v>6</v>
      </c>
      <c r="I5" s="6" t="s">
        <v>81</v>
      </c>
      <c r="J5" s="6" t="s">
        <v>82</v>
      </c>
      <c r="K5" s="12" t="n">
        <f aca="false">IF(AND($A5="A",$F5="HIT"),$E5,"")</f>
        <v>30.2</v>
      </c>
      <c r="L5" s="12" t="str">
        <f aca="false">IF($A5="B",$E5,"")</f>
        <v/>
      </c>
      <c r="M5" s="12" t="n">
        <f aca="false">IF($H5="","",$E5-$H5)</f>
        <v>24.2</v>
      </c>
    </row>
    <row r="6" customFormat="false" ht="15" hidden="false" customHeight="false" outlineLevel="0" collapsed="false">
      <c r="A6" s="6" t="s">
        <v>78</v>
      </c>
      <c r="B6" s="6" t="s">
        <v>79</v>
      </c>
      <c r="C6" s="6" t="n">
        <v>5</v>
      </c>
      <c r="D6" s="6" t="n">
        <v>200</v>
      </c>
      <c r="E6" s="11" t="n">
        <v>83.1</v>
      </c>
      <c r="F6" s="6" t="s">
        <v>83</v>
      </c>
      <c r="G6" s="9" t="n">
        <v>0</v>
      </c>
      <c r="H6" s="9" t="n">
        <v>16</v>
      </c>
      <c r="I6" s="6" t="s">
        <v>81</v>
      </c>
      <c r="J6" s="6" t="s">
        <v>82</v>
      </c>
      <c r="K6" s="12" t="n">
        <f aca="false">IF(AND($A6="A",$F6="HIT"),$E6,"")</f>
        <v>83.1</v>
      </c>
      <c r="L6" s="12" t="str">
        <f aca="false">IF($A6="B",$E6,"")</f>
        <v/>
      </c>
      <c r="M6" s="12" t="n">
        <f aca="false">IF($H6="","",$E6-$H6)</f>
        <v>67.1</v>
      </c>
    </row>
    <row r="7" customFormat="false" ht="15" hidden="false" customHeight="false" outlineLevel="0" collapsed="false">
      <c r="A7" s="6" t="s">
        <v>78</v>
      </c>
      <c r="B7" s="6" t="s">
        <v>79</v>
      </c>
      <c r="C7" s="6" t="n">
        <v>6</v>
      </c>
      <c r="D7" s="6" t="n">
        <v>200</v>
      </c>
      <c r="E7" s="11" t="n">
        <v>27.4</v>
      </c>
      <c r="F7" s="6" t="s">
        <v>83</v>
      </c>
      <c r="G7" s="9" t="n">
        <v>0</v>
      </c>
      <c r="H7" s="9" t="n">
        <v>5</v>
      </c>
      <c r="I7" s="6" t="s">
        <v>81</v>
      </c>
      <c r="J7" s="6" t="s">
        <v>82</v>
      </c>
      <c r="K7" s="12" t="n">
        <f aca="false">IF(AND($A7="A",$F7="HIT"),$E7,"")</f>
        <v>27.4</v>
      </c>
      <c r="L7" s="12" t="str">
        <f aca="false">IF($A7="B",$E7,"")</f>
        <v/>
      </c>
      <c r="M7" s="12" t="n">
        <f aca="false">IF($H7="","",$E7-$H7)</f>
        <v>22.4</v>
      </c>
    </row>
    <row r="8" customFormat="false" ht="15" hidden="false" customHeight="false" outlineLevel="0" collapsed="false">
      <c r="A8" s="6" t="s">
        <v>78</v>
      </c>
      <c r="B8" s="6" t="s">
        <v>79</v>
      </c>
      <c r="C8" s="6" t="n">
        <v>7</v>
      </c>
      <c r="D8" s="6" t="n">
        <v>200</v>
      </c>
      <c r="E8" s="11" t="n">
        <v>28.1</v>
      </c>
      <c r="F8" s="6" t="s">
        <v>83</v>
      </c>
      <c r="G8" s="9" t="n">
        <v>0</v>
      </c>
      <c r="H8" s="9" t="n">
        <v>5</v>
      </c>
      <c r="I8" s="6" t="s">
        <v>81</v>
      </c>
      <c r="J8" s="6" t="s">
        <v>82</v>
      </c>
      <c r="K8" s="12" t="n">
        <f aca="false">IF(AND($A8="A",$F8="HIT"),$E8,"")</f>
        <v>28.1</v>
      </c>
      <c r="L8" s="12" t="str">
        <f aca="false">IF($A8="B",$E8,"")</f>
        <v/>
      </c>
      <c r="M8" s="12" t="n">
        <f aca="false">IF($H8="","",$E8-$H8)</f>
        <v>23.1</v>
      </c>
    </row>
    <row r="9" customFormat="false" ht="15" hidden="false" customHeight="false" outlineLevel="0" collapsed="false">
      <c r="A9" s="6" t="s">
        <v>78</v>
      </c>
      <c r="B9" s="6" t="s">
        <v>79</v>
      </c>
      <c r="C9" s="6" t="n">
        <v>8</v>
      </c>
      <c r="D9" s="6" t="n">
        <v>200</v>
      </c>
      <c r="E9" s="11" t="n">
        <v>27.6</v>
      </c>
      <c r="F9" s="6" t="s">
        <v>83</v>
      </c>
      <c r="G9" s="9" t="n">
        <v>0</v>
      </c>
      <c r="H9" s="9" t="n">
        <v>6</v>
      </c>
      <c r="I9" s="6" t="s">
        <v>81</v>
      </c>
      <c r="J9" s="6" t="s">
        <v>82</v>
      </c>
      <c r="K9" s="12" t="n">
        <f aca="false">IF(AND($A9="A",$F9="HIT"),$E9,"")</f>
        <v>27.6</v>
      </c>
      <c r="L9" s="12" t="str">
        <f aca="false">IF($A9="B",$E9,"")</f>
        <v/>
      </c>
      <c r="M9" s="12" t="n">
        <f aca="false">IF($H9="","",$E9-$H9)</f>
        <v>21.6</v>
      </c>
    </row>
    <row r="10" customFormat="false" ht="15" hidden="false" customHeight="false" outlineLevel="0" collapsed="false">
      <c r="A10" s="6" t="s">
        <v>78</v>
      </c>
      <c r="B10" s="6" t="s">
        <v>79</v>
      </c>
      <c r="C10" s="6" t="n">
        <v>9</v>
      </c>
      <c r="D10" s="6" t="n">
        <v>200</v>
      </c>
      <c r="E10" s="11" t="n">
        <v>39</v>
      </c>
      <c r="F10" s="6" t="s">
        <v>83</v>
      </c>
      <c r="G10" s="9" t="n">
        <v>0</v>
      </c>
      <c r="H10" s="9" t="n">
        <v>5</v>
      </c>
      <c r="I10" s="6" t="s">
        <v>81</v>
      </c>
      <c r="J10" s="6" t="s">
        <v>82</v>
      </c>
      <c r="K10" s="12" t="n">
        <f aca="false">IF(AND($A10="A",$F10="HIT"),$E10,"")</f>
        <v>39</v>
      </c>
      <c r="L10" s="12" t="str">
        <f aca="false">IF($A10="B",$E10,"")</f>
        <v/>
      </c>
      <c r="M10" s="12" t="n">
        <f aca="false">IF($H10="","",$E10-$H10)</f>
        <v>34</v>
      </c>
    </row>
    <row r="11" customFormat="false" ht="15" hidden="false" customHeight="false" outlineLevel="0" collapsed="false">
      <c r="A11" s="6" t="s">
        <v>78</v>
      </c>
      <c r="B11" s="6" t="s">
        <v>79</v>
      </c>
      <c r="C11" s="6" t="n">
        <v>10</v>
      </c>
      <c r="D11" s="6" t="n">
        <v>200</v>
      </c>
      <c r="E11" s="11" t="n">
        <v>154.9</v>
      </c>
      <c r="F11" s="6" t="s">
        <v>83</v>
      </c>
      <c r="G11" s="9" t="n">
        <v>0</v>
      </c>
      <c r="H11" s="9" t="n">
        <v>6</v>
      </c>
      <c r="I11" s="6" t="s">
        <v>81</v>
      </c>
      <c r="J11" s="6" t="s">
        <v>82</v>
      </c>
      <c r="K11" s="12" t="n">
        <f aca="false">IF(AND($A11="A",$F11="HIT"),$E11,"")</f>
        <v>154.9</v>
      </c>
      <c r="L11" s="12" t="str">
        <f aca="false">IF($A11="B",$E11,"")</f>
        <v/>
      </c>
      <c r="M11" s="12" t="n">
        <f aca="false">IF($H11="","",$E11-$H11)</f>
        <v>148.9</v>
      </c>
    </row>
    <row r="12" customFormat="false" ht="15" hidden="false" customHeight="false" outlineLevel="0" collapsed="false">
      <c r="A12" s="6" t="s">
        <v>84</v>
      </c>
      <c r="B12" s="6" t="s">
        <v>85</v>
      </c>
      <c r="C12" s="6" t="n">
        <v>1</v>
      </c>
      <c r="D12" s="6" t="n">
        <v>200</v>
      </c>
      <c r="E12" s="11" t="n">
        <v>2247</v>
      </c>
      <c r="F12" s="6" t="s">
        <v>86</v>
      </c>
      <c r="G12" s="6" t="s">
        <v>86</v>
      </c>
      <c r="H12" s="9" t="n">
        <v>2038</v>
      </c>
      <c r="I12" s="6" t="s">
        <v>81</v>
      </c>
      <c r="J12" s="6" t="s">
        <v>87</v>
      </c>
      <c r="K12" s="12" t="str">
        <f aca="false">IF(AND($A12="A",$F12="HIT"),$E12,"")</f>
        <v/>
      </c>
      <c r="L12" s="12" t="n">
        <f aca="false">IF($A12="B",$E12,"")</f>
        <v>2247</v>
      </c>
      <c r="M12" s="12" t="n">
        <f aca="false">IF($H12="","",$E12-$H12)</f>
        <v>209</v>
      </c>
    </row>
    <row r="13" customFormat="false" ht="15" hidden="false" customHeight="false" outlineLevel="0" collapsed="false">
      <c r="A13" s="6" t="s">
        <v>84</v>
      </c>
      <c r="B13" s="6" t="s">
        <v>85</v>
      </c>
      <c r="C13" s="6" t="n">
        <v>2</v>
      </c>
      <c r="D13" s="6" t="n">
        <v>200</v>
      </c>
      <c r="E13" s="11" t="n">
        <v>2124.5</v>
      </c>
      <c r="F13" s="6" t="s">
        <v>86</v>
      </c>
      <c r="G13" s="6" t="s">
        <v>86</v>
      </c>
      <c r="H13" s="9" t="n">
        <v>2007</v>
      </c>
      <c r="I13" s="6" t="s">
        <v>81</v>
      </c>
      <c r="J13" s="6" t="s">
        <v>88</v>
      </c>
      <c r="K13" s="12" t="str">
        <f aca="false">IF(AND($A13="A",$F13="HIT"),$E13,"")</f>
        <v/>
      </c>
      <c r="L13" s="12" t="n">
        <f aca="false">IF($A13="B",$E13,"")</f>
        <v>2124.5</v>
      </c>
      <c r="M13" s="12" t="n">
        <f aca="false">IF($H13="","",$E13-$H13)</f>
        <v>117.5</v>
      </c>
    </row>
    <row r="14" customFormat="false" ht="15" hidden="false" customHeight="false" outlineLevel="0" collapsed="false">
      <c r="A14" s="6" t="s">
        <v>84</v>
      </c>
      <c r="B14" s="6" t="s">
        <v>85</v>
      </c>
      <c r="C14" s="6" t="n">
        <v>3</v>
      </c>
      <c r="D14" s="6" t="n">
        <v>200</v>
      </c>
      <c r="E14" s="11" t="n">
        <v>2037.7</v>
      </c>
      <c r="F14" s="6" t="s">
        <v>86</v>
      </c>
      <c r="G14" s="6" t="s">
        <v>86</v>
      </c>
      <c r="H14" s="9" t="n">
        <v>2006</v>
      </c>
      <c r="I14" s="6" t="s">
        <v>81</v>
      </c>
      <c r="J14" s="6" t="s">
        <v>89</v>
      </c>
      <c r="K14" s="12" t="str">
        <f aca="false">IF(AND($A14="A",$F14="HIT"),$E14,"")</f>
        <v/>
      </c>
      <c r="L14" s="12" t="n">
        <f aca="false">IF($A14="B",$E14,"")</f>
        <v>2037.7</v>
      </c>
      <c r="M14" s="12" t="n">
        <f aca="false">IF($H14="","",$E14-$H14)</f>
        <v>31.7</v>
      </c>
    </row>
    <row r="15" customFormat="false" ht="15" hidden="false" customHeight="false" outlineLevel="0" collapsed="false">
      <c r="A15" s="6" t="s">
        <v>84</v>
      </c>
      <c r="B15" s="6" t="s">
        <v>85</v>
      </c>
      <c r="C15" s="6" t="n">
        <v>4</v>
      </c>
      <c r="D15" s="6" t="n">
        <v>200</v>
      </c>
      <c r="E15" s="11" t="n">
        <v>2095</v>
      </c>
      <c r="F15" s="6" t="s">
        <v>86</v>
      </c>
      <c r="G15" s="6" t="s">
        <v>86</v>
      </c>
      <c r="H15" s="9" t="n">
        <v>2005</v>
      </c>
      <c r="I15" s="6" t="s">
        <v>81</v>
      </c>
      <c r="J15" s="6" t="s">
        <v>90</v>
      </c>
      <c r="K15" s="12" t="str">
        <f aca="false">IF(AND($A15="A",$F15="HIT"),$E15,"")</f>
        <v/>
      </c>
      <c r="L15" s="12" t="n">
        <f aca="false">IF($A15="B",$E15,"")</f>
        <v>2095</v>
      </c>
      <c r="M15" s="12" t="n">
        <f aca="false">IF($H15="","",$E15-$H15)</f>
        <v>90</v>
      </c>
    </row>
    <row r="16" customFormat="false" ht="15" hidden="false" customHeight="false" outlineLevel="0" collapsed="false">
      <c r="A16" s="6" t="s">
        <v>84</v>
      </c>
      <c r="B16" s="6" t="s">
        <v>85</v>
      </c>
      <c r="C16" s="6" t="n">
        <v>5</v>
      </c>
      <c r="D16" s="6" t="n">
        <v>200</v>
      </c>
      <c r="E16" s="11" t="n">
        <v>2038.7</v>
      </c>
      <c r="F16" s="6" t="s">
        <v>86</v>
      </c>
      <c r="G16" s="6" t="s">
        <v>86</v>
      </c>
      <c r="H16" s="9" t="n">
        <v>2005</v>
      </c>
      <c r="I16" s="6" t="s">
        <v>81</v>
      </c>
      <c r="J16" s="6" t="s">
        <v>91</v>
      </c>
      <c r="K16" s="12" t="str">
        <f aca="false">IF(AND($A16="A",$F16="HIT"),$E16,"")</f>
        <v/>
      </c>
      <c r="L16" s="12" t="n">
        <f aca="false">IF($A16="B",$E16,"")</f>
        <v>2038.7</v>
      </c>
      <c r="M16" s="12" t="n">
        <f aca="false">IF($H16="","",$E16-$H16)</f>
        <v>33.7</v>
      </c>
    </row>
    <row r="17" customFormat="false" ht="15" hidden="false" customHeight="false" outlineLevel="0" collapsed="false">
      <c r="A17" s="6" t="s">
        <v>84</v>
      </c>
      <c r="B17" s="6" t="s">
        <v>85</v>
      </c>
      <c r="C17" s="6" t="n">
        <v>6</v>
      </c>
      <c r="D17" s="6" t="n">
        <v>200</v>
      </c>
      <c r="E17" s="11" t="n">
        <v>2051.7</v>
      </c>
      <c r="F17" s="6" t="s">
        <v>86</v>
      </c>
      <c r="G17" s="6" t="s">
        <v>86</v>
      </c>
      <c r="H17" s="9" t="n">
        <v>2006</v>
      </c>
      <c r="I17" s="6" t="s">
        <v>81</v>
      </c>
      <c r="J17" s="6" t="s">
        <v>92</v>
      </c>
      <c r="K17" s="12" t="str">
        <f aca="false">IF(AND($A17="A",$F17="HIT"),$E17,"")</f>
        <v/>
      </c>
      <c r="L17" s="12" t="n">
        <f aca="false">IF($A17="B",$E17,"")</f>
        <v>2051.7</v>
      </c>
      <c r="M17" s="12" t="n">
        <f aca="false">IF($H17="","",$E17-$H17)</f>
        <v>45.6999999999998</v>
      </c>
    </row>
    <row r="18" customFormat="false" ht="15" hidden="false" customHeight="false" outlineLevel="0" collapsed="false">
      <c r="A18" s="6" t="s">
        <v>84</v>
      </c>
      <c r="B18" s="6" t="s">
        <v>85</v>
      </c>
      <c r="C18" s="6" t="n">
        <v>7</v>
      </c>
      <c r="D18" s="6" t="n">
        <v>200</v>
      </c>
      <c r="E18" s="11" t="n">
        <v>2038.4</v>
      </c>
      <c r="F18" s="6" t="s">
        <v>86</v>
      </c>
      <c r="G18" s="6" t="s">
        <v>86</v>
      </c>
      <c r="H18" s="9" t="n">
        <v>2006</v>
      </c>
      <c r="I18" s="6" t="s">
        <v>81</v>
      </c>
      <c r="J18" s="6" t="s">
        <v>93</v>
      </c>
      <c r="K18" s="12" t="str">
        <f aca="false">IF(AND($A18="A",$F18="HIT"),$E18,"")</f>
        <v/>
      </c>
      <c r="L18" s="12" t="n">
        <f aca="false">IF($A18="B",$E18,"")</f>
        <v>2038.4</v>
      </c>
      <c r="M18" s="12" t="n">
        <f aca="false">IF($H18="","",$E18-$H18)</f>
        <v>32.4000000000001</v>
      </c>
    </row>
    <row r="19" customFormat="false" ht="15" hidden="false" customHeight="false" outlineLevel="0" collapsed="false">
      <c r="A19" s="6" t="s">
        <v>84</v>
      </c>
      <c r="B19" s="6" t="s">
        <v>85</v>
      </c>
      <c r="C19" s="6" t="n">
        <v>8</v>
      </c>
      <c r="D19" s="6" t="n">
        <v>200</v>
      </c>
      <c r="E19" s="11" t="n">
        <v>2061.4</v>
      </c>
      <c r="F19" s="6" t="s">
        <v>86</v>
      </c>
      <c r="G19" s="6" t="s">
        <v>86</v>
      </c>
      <c r="H19" s="9" t="n">
        <v>2005</v>
      </c>
      <c r="I19" s="6" t="s">
        <v>81</v>
      </c>
      <c r="J19" s="6" t="s">
        <v>94</v>
      </c>
      <c r="K19" s="12" t="str">
        <f aca="false">IF(AND($A19="A",$F19="HIT"),$E19,"")</f>
        <v/>
      </c>
      <c r="L19" s="12" t="n">
        <f aca="false">IF($A19="B",$E19,"")</f>
        <v>2061.4</v>
      </c>
      <c r="M19" s="12" t="n">
        <f aca="false">IF($H19="","",$E19-$H19)</f>
        <v>56.4000000000001</v>
      </c>
    </row>
    <row r="20" customFormat="false" ht="15" hidden="false" customHeight="false" outlineLevel="0" collapsed="false">
      <c r="A20" s="6" t="s">
        <v>84</v>
      </c>
      <c r="B20" s="6" t="s">
        <v>85</v>
      </c>
      <c r="C20" s="6" t="n">
        <v>9</v>
      </c>
      <c r="D20" s="6" t="n">
        <v>200</v>
      </c>
      <c r="E20" s="11" t="n">
        <v>2063.8</v>
      </c>
      <c r="F20" s="6" t="s">
        <v>86</v>
      </c>
      <c r="G20" s="6" t="s">
        <v>86</v>
      </c>
      <c r="H20" s="9" t="n">
        <v>2008</v>
      </c>
      <c r="I20" s="6" t="s">
        <v>81</v>
      </c>
      <c r="J20" s="6" t="s">
        <v>95</v>
      </c>
      <c r="K20" s="12" t="str">
        <f aca="false">IF(AND($A20="A",$F20="HIT"),$E20,"")</f>
        <v/>
      </c>
      <c r="L20" s="12" t="n">
        <f aca="false">IF($A20="B",$E20,"")</f>
        <v>2063.8</v>
      </c>
      <c r="M20" s="12" t="n">
        <f aca="false">IF($H20="","",$E20-$H20)</f>
        <v>55.8000000000002</v>
      </c>
    </row>
    <row r="21" customFormat="false" ht="15" hidden="false" customHeight="false" outlineLevel="0" collapsed="false">
      <c r="A21" s="6" t="s">
        <v>84</v>
      </c>
      <c r="B21" s="6" t="s">
        <v>85</v>
      </c>
      <c r="C21" s="6" t="n">
        <v>10</v>
      </c>
      <c r="D21" s="6" t="n">
        <v>200</v>
      </c>
      <c r="E21" s="11" t="n">
        <v>2060.3</v>
      </c>
      <c r="F21" s="6" t="s">
        <v>86</v>
      </c>
      <c r="G21" s="6" t="s">
        <v>86</v>
      </c>
      <c r="H21" s="9" t="n">
        <v>2005</v>
      </c>
      <c r="I21" s="6" t="s">
        <v>81</v>
      </c>
      <c r="J21" s="6" t="s">
        <v>96</v>
      </c>
      <c r="K21" s="12" t="str">
        <f aca="false">IF(AND($A21="A",$F21="HIT"),$E21,"")</f>
        <v/>
      </c>
      <c r="L21" s="12" t="n">
        <f aca="false">IF($A21="B",$E21,"")</f>
        <v>2060.3</v>
      </c>
      <c r="M21" s="12" t="n">
        <f aca="false">IF($H21="","",$E21-$H21)</f>
        <v>55.3000000000002</v>
      </c>
    </row>
    <row r="22" customFormat="false" ht="15" hidden="false" customHeight="false" outlineLevel="0" collapsed="false">
      <c r="A22" s="6" t="s">
        <v>97</v>
      </c>
      <c r="B22" s="6" t="s">
        <v>79</v>
      </c>
      <c r="C22" s="6" t="n">
        <v>1</v>
      </c>
      <c r="D22" s="6" t="n">
        <v>200</v>
      </c>
      <c r="E22" s="11" t="n">
        <v>2190.7</v>
      </c>
      <c r="F22" s="6" t="s">
        <v>80</v>
      </c>
      <c r="G22" s="9" t="n">
        <v>0</v>
      </c>
      <c r="H22" s="9" t="n">
        <v>2011</v>
      </c>
      <c r="I22" s="6" t="s">
        <v>81</v>
      </c>
      <c r="J22" s="6" t="s">
        <v>98</v>
      </c>
      <c r="K22" s="12" t="str">
        <f aca="false">IF(AND($A22="A",$F22="HIT"),$E22,"")</f>
        <v/>
      </c>
      <c r="L22" s="12" t="str">
        <f aca="false">IF($A22="B",$E22,"")</f>
        <v/>
      </c>
      <c r="M22" s="12" t="n">
        <f aca="false">IF($H22="","",$E22-$H22)</f>
        <v>179.7</v>
      </c>
    </row>
    <row r="23" customFormat="false" ht="15" hidden="false" customHeight="false" outlineLevel="0" collapsed="false">
      <c r="A23" s="6" t="s">
        <v>97</v>
      </c>
      <c r="B23" s="6" t="s">
        <v>79</v>
      </c>
      <c r="C23" s="6" t="n">
        <v>2</v>
      </c>
      <c r="D23" s="6" t="n">
        <v>200</v>
      </c>
      <c r="E23" s="11" t="n">
        <v>166.6</v>
      </c>
      <c r="F23" s="6" t="s">
        <v>83</v>
      </c>
      <c r="G23" s="9" t="n">
        <v>12</v>
      </c>
      <c r="H23" s="9" t="n">
        <v>7</v>
      </c>
      <c r="I23" s="6" t="s">
        <v>81</v>
      </c>
      <c r="J23" s="6" t="s">
        <v>98</v>
      </c>
      <c r="K23" s="12" t="str">
        <f aca="false">IF(AND($A23="A",$F23="HIT"),$E23,"")</f>
        <v/>
      </c>
      <c r="L23" s="12" t="str">
        <f aca="false">IF($A23="B",$E23,"")</f>
        <v/>
      </c>
      <c r="M23" s="12" t="n">
        <f aca="false">IF($H23="","",$E23-$H23)</f>
        <v>159.6</v>
      </c>
    </row>
    <row r="24" customFormat="false" ht="15" hidden="false" customHeight="false" outlineLevel="0" collapsed="false">
      <c r="A24" s="6" t="s">
        <v>97</v>
      </c>
      <c r="B24" s="6" t="s">
        <v>79</v>
      </c>
      <c r="C24" s="6" t="n">
        <v>3</v>
      </c>
      <c r="D24" s="6" t="n">
        <v>200</v>
      </c>
      <c r="E24" s="11" t="n">
        <v>190.3</v>
      </c>
      <c r="F24" s="6" t="s">
        <v>83</v>
      </c>
      <c r="G24" s="9" t="n">
        <v>24</v>
      </c>
      <c r="H24" s="9" t="n">
        <v>4</v>
      </c>
      <c r="I24" s="6" t="s">
        <v>81</v>
      </c>
      <c r="J24" s="6" t="s">
        <v>98</v>
      </c>
      <c r="K24" s="12" t="str">
        <f aca="false">IF(AND($A24="A",$F24="HIT"),$E24,"")</f>
        <v/>
      </c>
      <c r="L24" s="12" t="str">
        <f aca="false">IF($A24="B",$E24,"")</f>
        <v/>
      </c>
      <c r="M24" s="12" t="n">
        <f aca="false">IF($H24="","",$E24-$H24)</f>
        <v>186.3</v>
      </c>
    </row>
    <row r="25" customFormat="false" ht="15" hidden="false" customHeight="false" outlineLevel="0" collapsed="false">
      <c r="A25" s="6" t="s">
        <v>97</v>
      </c>
      <c r="B25" s="6" t="s">
        <v>79</v>
      </c>
      <c r="C25" s="6" t="n">
        <v>4</v>
      </c>
      <c r="D25" s="6" t="n">
        <v>200</v>
      </c>
      <c r="E25" s="11" t="n">
        <v>2105</v>
      </c>
      <c r="F25" s="6" t="s">
        <v>80</v>
      </c>
      <c r="G25" s="9" t="n">
        <v>0</v>
      </c>
      <c r="H25" s="9" t="n">
        <v>2008</v>
      </c>
      <c r="I25" s="6" t="s">
        <v>81</v>
      </c>
      <c r="J25" s="6" t="s">
        <v>99</v>
      </c>
      <c r="K25" s="12" t="str">
        <f aca="false">IF(AND($A25="A",$F25="HIT"),$E25,"")</f>
        <v/>
      </c>
      <c r="L25" s="12" t="str">
        <f aca="false">IF($A25="B",$E25,"")</f>
        <v/>
      </c>
      <c r="M25" s="12" t="n">
        <f aca="false">IF($H25="","",$E25-$H25)</f>
        <v>97</v>
      </c>
    </row>
    <row r="26" customFormat="false" ht="15" hidden="false" customHeight="false" outlineLevel="0" collapsed="false">
      <c r="A26" s="6" t="s">
        <v>100</v>
      </c>
      <c r="B26" s="6" t="s">
        <v>79</v>
      </c>
      <c r="C26" s="6" t="n">
        <v>1</v>
      </c>
      <c r="D26" s="6" t="s">
        <v>101</v>
      </c>
      <c r="E26" s="11" t="n">
        <v>112.271</v>
      </c>
      <c r="F26" s="6" t="s">
        <v>83</v>
      </c>
      <c r="G26" s="9" t="n">
        <v>25</v>
      </c>
      <c r="H26" s="6"/>
      <c r="I26" s="6" t="s">
        <v>81</v>
      </c>
      <c r="J26" s="6" t="s">
        <v>102</v>
      </c>
      <c r="K26" s="12" t="str">
        <f aca="false">IF(AND($A26="A",$F26="HIT"),$E26,"")</f>
        <v/>
      </c>
      <c r="L26" s="12" t="str">
        <f aca="false">IF($A26="B",$E26,"")</f>
        <v/>
      </c>
      <c r="M26" s="12" t="str">
        <f aca="false">IF($H26="","",$E26-$H26)</f>
        <v/>
      </c>
    </row>
    <row r="27" customFormat="false" ht="15" hidden="false" customHeight="false" outlineLevel="0" collapsed="false">
      <c r="A27" s="6" t="s">
        <v>100</v>
      </c>
      <c r="B27" s="6" t="s">
        <v>79</v>
      </c>
      <c r="C27" s="6" t="n">
        <v>2</v>
      </c>
      <c r="D27" s="6" t="s">
        <v>101</v>
      </c>
      <c r="E27" s="11" t="n">
        <v>210.165</v>
      </c>
      <c r="F27" s="6" t="s">
        <v>83</v>
      </c>
      <c r="G27" s="9" t="n">
        <v>26</v>
      </c>
      <c r="H27" s="6"/>
      <c r="I27" s="6" t="s">
        <v>81</v>
      </c>
      <c r="J27" s="6" t="s">
        <v>102</v>
      </c>
      <c r="K27" s="12" t="str">
        <f aca="false">IF(AND($A27="A",$F27="HIT"),$E27,"")</f>
        <v/>
      </c>
      <c r="L27" s="12" t="str">
        <f aca="false">IF($A27="B",$E27,"")</f>
        <v/>
      </c>
      <c r="M27" s="12" t="str">
        <f aca="false">IF($H27="","",$E27-$H27)</f>
        <v/>
      </c>
    </row>
    <row r="28" customFormat="false" ht="15" hidden="false" customHeight="false" outlineLevel="0" collapsed="false">
      <c r="A28" s="6" t="s">
        <v>100</v>
      </c>
      <c r="B28" s="6" t="s">
        <v>79</v>
      </c>
      <c r="C28" s="6" t="n">
        <v>3</v>
      </c>
      <c r="D28" s="6" t="s">
        <v>101</v>
      </c>
      <c r="E28" s="11" t="n">
        <v>80.534</v>
      </c>
      <c r="F28" s="6" t="s">
        <v>83</v>
      </c>
      <c r="G28" s="9" t="n">
        <v>26</v>
      </c>
      <c r="H28" s="6"/>
      <c r="I28" s="6" t="s">
        <v>81</v>
      </c>
      <c r="J28" s="6" t="s">
        <v>102</v>
      </c>
      <c r="K28" s="12" t="str">
        <f aca="false">IF(AND($A28="A",$F28="HIT"),$E28,"")</f>
        <v/>
      </c>
      <c r="L28" s="12" t="str">
        <f aca="false">IF($A28="B",$E28,"")</f>
        <v/>
      </c>
      <c r="M28" s="12" t="str">
        <f aca="false">IF($H28="","",$E28-$H28)</f>
        <v/>
      </c>
    </row>
    <row r="29" customFormat="false" ht="15" hidden="false" customHeight="false" outlineLevel="0" collapsed="false">
      <c r="A29" s="6" t="s">
        <v>103</v>
      </c>
      <c r="B29" s="6" t="s">
        <v>79</v>
      </c>
      <c r="C29" s="6" t="n">
        <v>1</v>
      </c>
      <c r="D29" s="6" t="s">
        <v>101</v>
      </c>
      <c r="E29" s="11" t="n">
        <v>2140.137</v>
      </c>
      <c r="F29" s="6" t="s">
        <v>80</v>
      </c>
      <c r="G29" s="9" t="n">
        <v>0</v>
      </c>
      <c r="H29" s="6"/>
      <c r="I29" s="6" t="s">
        <v>104</v>
      </c>
      <c r="J29" s="6" t="s">
        <v>105</v>
      </c>
      <c r="K29" s="12" t="str">
        <f aca="false">IF(AND($A29="A",$F29="HIT"),$E29,"")</f>
        <v/>
      </c>
      <c r="L29" s="12" t="str">
        <f aca="false">IF($A29="B",$E29,"")</f>
        <v/>
      </c>
      <c r="M29" s="12" t="str">
        <f aca="false">IF($H29="","",$E29-$H29)</f>
        <v/>
      </c>
    </row>
    <row r="30" customFormat="false" ht="15" hidden="false" customHeight="false" outlineLevel="0" collapsed="false">
      <c r="A30" s="6" t="s">
        <v>103</v>
      </c>
      <c r="B30" s="6" t="s">
        <v>79</v>
      </c>
      <c r="C30" s="6" t="n">
        <v>2</v>
      </c>
      <c r="D30" s="6" t="s">
        <v>101</v>
      </c>
      <c r="E30" s="11" t="n">
        <v>62.983</v>
      </c>
      <c r="F30" s="6" t="s">
        <v>83</v>
      </c>
      <c r="G30" s="9" t="n">
        <v>0</v>
      </c>
      <c r="H30" s="6"/>
      <c r="I30" s="6" t="s">
        <v>104</v>
      </c>
      <c r="J30" s="6" t="s">
        <v>105</v>
      </c>
      <c r="K30" s="12" t="str">
        <f aca="false">IF(AND($A30="A",$F30="HIT"),$E30,"")</f>
        <v/>
      </c>
      <c r="L30" s="12" t="str">
        <f aca="false">IF($A30="B",$E30,"")</f>
        <v/>
      </c>
      <c r="M30" s="12" t="str">
        <f aca="false">IF($H30="","",$E30-$H30)</f>
        <v/>
      </c>
    </row>
    <row r="31" customFormat="false" ht="15" hidden="false" customHeight="false" outlineLevel="0" collapsed="false">
      <c r="A31" s="6" t="s">
        <v>103</v>
      </c>
      <c r="B31" s="6" t="s">
        <v>79</v>
      </c>
      <c r="C31" s="6" t="n">
        <v>3</v>
      </c>
      <c r="D31" s="6" t="s">
        <v>101</v>
      </c>
      <c r="E31" s="11" t="n">
        <v>74.86</v>
      </c>
      <c r="F31" s="6" t="s">
        <v>83</v>
      </c>
      <c r="G31" s="9" t="n">
        <v>0</v>
      </c>
      <c r="H31" s="6"/>
      <c r="I31" s="6" t="s">
        <v>104</v>
      </c>
      <c r="J31" s="6" t="s">
        <v>105</v>
      </c>
      <c r="K31" s="12" t="str">
        <f aca="false">IF(AND($A31="A",$F31="HIT"),$E31,"")</f>
        <v/>
      </c>
      <c r="L31" s="12" t="str">
        <f aca="false">IF($A31="B",$E31,"")</f>
        <v/>
      </c>
      <c r="M31" s="12" t="str">
        <f aca="false">IF($H31="","",$E31-$H31)</f>
        <v/>
      </c>
    </row>
    <row r="33" customFormat="false" ht="27.75" hidden="false" customHeight="true" outlineLevel="0" collapsed="false">
      <c r="A33" s="13" t="s">
        <v>106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customFormat="false" ht="27.75" hidden="false" customHeight="true" outlineLevel="0" collapsed="false">
      <c r="A34" s="13" t="s">
        <v>107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customFormat="false" ht="27.75" hidden="false" customHeight="true" outlineLevel="0" collapsed="false">
      <c r="A35" s="13" t="s">
        <v>108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customFormat="false" ht="27.75" hidden="false" customHeight="true" outlineLevel="0" collapsed="false">
      <c r="A36" s="13" t="s">
        <v>109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</sheetData>
  <mergeCells count="4">
    <mergeCell ref="A33:M33"/>
    <mergeCell ref="A34:M34"/>
    <mergeCell ref="A35:M35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3" t="s">
        <v>110</v>
      </c>
      <c r="B1" s="3" t="s">
        <v>111</v>
      </c>
      <c r="C1" s="3" t="s">
        <v>112</v>
      </c>
    </row>
    <row r="2" customFormat="false" ht="78" hidden="false" customHeight="true" outlineLevel="0" collapsed="false">
      <c r="A2" s="10" t="s">
        <v>113</v>
      </c>
      <c r="B2" s="10" t="s">
        <v>114</v>
      </c>
      <c r="C2" s="10" t="s">
        <v>115</v>
      </c>
    </row>
    <row r="3" customFormat="false" ht="78" hidden="false" customHeight="true" outlineLevel="0" collapsed="false">
      <c r="A3" s="10" t="s">
        <v>116</v>
      </c>
      <c r="B3" s="10" t="s">
        <v>117</v>
      </c>
      <c r="C3" s="10" t="s">
        <v>118</v>
      </c>
    </row>
    <row r="4" customFormat="false" ht="78" hidden="false" customHeight="true" outlineLevel="0" collapsed="false">
      <c r="A4" s="10" t="s">
        <v>119</v>
      </c>
      <c r="B4" s="10" t="s">
        <v>120</v>
      </c>
      <c r="C4" s="10" t="s">
        <v>121</v>
      </c>
    </row>
    <row r="5" customFormat="false" ht="78" hidden="false" customHeight="true" outlineLevel="0" collapsed="false">
      <c r="A5" s="10" t="s">
        <v>122</v>
      </c>
      <c r="B5" s="10" t="s">
        <v>123</v>
      </c>
      <c r="C5" s="10" t="s">
        <v>124</v>
      </c>
    </row>
    <row r="6" customFormat="false" ht="78" hidden="false" customHeight="true" outlineLevel="0" collapsed="false">
      <c r="A6" s="10" t="s">
        <v>125</v>
      </c>
      <c r="B6" s="10" t="s">
        <v>126</v>
      </c>
      <c r="C6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2026-10-07T16:43:13Z</dcterms:created>
  <dc:creator>openpyxl</dc:creator>
  <dc:description/>
  <dc:language>en-US</dc:language>
  <cp:lastModifiedBy/>
  <dcterms:modified xsi:type="dcterms:W3CDTF">2026-10-07T16:43:13Z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